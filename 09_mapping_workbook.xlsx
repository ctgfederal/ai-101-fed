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Discovery_Questions" sheetId="2" state="visible" r:id="rId4"/>
    <sheet name="Signal_Log" sheetId="3" state="visible" r:id="rId5"/>
    <sheet name="Workflow_Inventory" sheetId="4" state="visible" r:id="rId6"/>
    <sheet name="Primitive_Map" sheetId="5" state="visible" r:id="rId7"/>
    <sheet name="Value_Model" sheetId="6" state="visible" r:id="rId8"/>
    <sheet name="Scorecard" sheetId="7" state="visible" r:id="rId9"/>
    <sheet name="Build_Pla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<sst xmlns="http://schemas.openxmlformats.org/spreadsheetml/2006/main" count="269" uniqueCount="214">
  <si>
    <t xml:space="preserve">AI OPPORTUNITY DISCOVERY — Mapping &amp; ROI Workbook</t>
  </si>
  <si>
    <t xml:space="preserve">Section 8 capstone · find where humans act like machines, quantify the value, rank, and build the plan.</t>
  </si>
  <si>
    <t xml:space="preserve">HOW TO USE THIS WORKBOOK</t>
  </si>
  <si>
    <t xml:space="preserve">1. Interview using Sheet 1 (the 5 questions). Log what you hear in Sheet 2 (Signal Log).</t>
  </si>
  <si>
    <t xml:space="preserve">2. List candidate workflows in Sheet 3 (Workflow Inventory) — one row = one candidate coworker.</t>
  </si>
  <si>
    <t xml:space="preserve">3. Decompose each in Sheet 4 (Primitive Map): every step → AI primitive, Script, or Human.</t>
  </si>
  <si>
    <t xml:space="preserve">4. Quantify the six value dimensions in Sheet 5 (Value Model) — it computes a dollar figure.</t>
  </si>
  <si>
    <t xml:space="preserve">5. Rank candidates in Sheet 6 (Scorecard). The highest-value, most-recoverable one wins.</t>
  </si>
  <si>
    <t xml:space="preserve">6. Assemble the winner into a one-page plan in Sheet 7 (Build Plan). Take it to your budget owner.</t>
  </si>
  <si>
    <t xml:space="preserve">THE SIX VALUE DIMENSIONS — where the savings land</t>
  </si>
  <si>
    <t xml:space="preserve">Dimension</t>
  </si>
  <si>
    <t xml:space="preserve">What it measures</t>
  </si>
  <si>
    <t xml:space="preserve">How it's quantified (Sheet 5)</t>
  </si>
  <si>
    <t xml:space="preserve">Time</t>
  </si>
  <si>
    <t xml:space="preserve">Hours reclaimed from mechanical work</t>
  </si>
  <si>
    <t xml:space="preserve">Volume × minutes/instance × %automatable ÷ 60</t>
  </si>
  <si>
    <t xml:space="preserve">Money</t>
  </si>
  <si>
    <t xml:space="preserve">Dollars saved in labor + avoided spend</t>
  </si>
  <si>
    <t xml:space="preserve">Hours reclaimed × loaded labor rate</t>
  </si>
  <si>
    <t xml:space="preserve">Quality / Risk</t>
  </si>
  <si>
    <t xml:space="preserve">Fewer errors, less rework, lower audit exposure</t>
  </si>
  <si>
    <t xml:space="preserve">Volume × (error rate today − after) × cost per error</t>
  </si>
  <si>
    <t xml:space="preserve">Friction</t>
  </si>
  <si>
    <t xml:space="preserve">Fewer systems touched, fewer handoffs, less swivel-chair</t>
  </si>
  <si>
    <t xml:space="preserve">Friction index today − after (1–5 delta)</t>
  </si>
  <si>
    <t xml:space="preserve">Scale</t>
  </si>
  <si>
    <t xml:space="preserve">Capacity without linear headcount; backlog drained</t>
  </si>
  <si>
    <t xml:space="preserve">Backlog ÷ reclaimed capacity; growth-pressure flag</t>
  </si>
  <si>
    <t xml:space="preserve">Expertise</t>
  </si>
  <si>
    <t xml:space="preserve">High-cost talent freed from low-value retrieval</t>
  </si>
  <si>
    <t xml:space="preserve">Expert hours reclaimed × expert rate; SPOF flag</t>
  </si>
  <si>
    <t xml:space="preserve">COLOR LEGEND — only edit BLUE and YELLOW cells</t>
  </si>
  <si>
    <t xml:space="preserve">Blue text</t>
  </si>
  <si>
    <t xml:space="preserve">Inputs you change for your own numbers</t>
  </si>
  <si>
    <t xml:space="preserve">Black text</t>
  </si>
  <si>
    <t xml:space="preserve">Formulas / calculations — don't overtype</t>
  </si>
  <si>
    <t xml:space="preserve">Green text</t>
  </si>
  <si>
    <t xml:space="preserve">Links pulling from another sheet</t>
  </si>
  <si>
    <t xml:space="preserve">Yellow fill</t>
  </si>
  <si>
    <t xml:space="preserve">Shared assumptions to review (labor rates, weights)</t>
  </si>
  <si>
    <t xml:space="preserve">THE METHOD —  BEFORE: pick the 2–3 questions most likely to hit this group's pain.   DURING: lead with questions, listen for signal words, note combos.   AFTER: map every answer to Automation / Data Processing / Expert Augmentation; validate each by naming its primitive chain.</t>
  </si>
  <si>
    <t xml:space="preserve">THE FIVE DISCOVERY QUESTIONS  (national-lab examples)</t>
  </si>
  <si>
    <t xml:space="preserve">Lead with these. Then listen. Each question tends to unlock specific value dimensions.</t>
  </si>
  <si>
    <t xml:space="preserve">#  Question</t>
  </si>
  <si>
    <t xml:space="preserve">Lab examples</t>
  </si>
  <si>
    <t xml:space="preserve">Listen for…</t>
  </si>
  <si>
    <t xml:space="preserve">Unlocks (value dims)</t>
  </si>
  <si>
    <t xml:space="preserve">Q1 · Repetitive work</t>
  </si>
  <si>
    <t xml:space="preserve">Calibration certs, env-monitoring logs, job-script boilerplate, security-control evidence</t>
  </si>
  <si>
    <t xml:space="preserve">"We do this every day." "It's just part of the job."</t>
  </si>
  <si>
    <t xml:space="preserve">Time, Quality, Scale</t>
  </si>
  <si>
    <t xml:space="preserve">Q2 · Data created daily</t>
  </si>
  <si>
    <t xml:space="preserve">Operator/run logs, experiment notes, incident narratives, scheduler failure messages</t>
  </si>
  <si>
    <t xml:space="preserve">"Half my day is documenting." "Answers are in the data somewhere."</t>
  </si>
  <si>
    <t xml:space="preserve">Time, Quality</t>
  </si>
  <si>
    <t xml:space="preserve">Q3 · Data cleaned / processed</t>
  </si>
  <si>
    <t xml:space="preserve">Reliability trending (MTBF/MTTR), validation-data compilation, audit-evidence rollups</t>
  </si>
  <si>
    <t xml:space="preserve">"A whole team just checks the data." "Days to get a clean dataset."</t>
  </si>
  <si>
    <t xml:space="preserve">Quality, Money, Time</t>
  </si>
  <si>
    <t xml:space="preserve">Q4 · Knowledge transport</t>
  </si>
  <si>
    <t xml:space="preserve">LIMS→spreadsheet→report; scheduler→email→PI; control catalog→SSP→assessor</t>
  </si>
  <si>
    <t xml:space="preserve">"Someone's full-time job is copy-paste." "We log into 3 systems for one task."</t>
  </si>
  <si>
    <t xml:space="preserve">Friction, Time</t>
  </si>
  <si>
    <t xml:space="preserve">Q5 · Expert bottleneck</t>
  </si>
  <si>
    <t xml:space="preserve">PI assembling literature + prior results before a decision; ISSO pulling control evidence</t>
  </si>
  <si>
    <t xml:space="preserve">"Our PhDs do data entry." "When she retires, we're in trouble."</t>
  </si>
  <si>
    <t xml:space="preserve">Expertise, Time, Quality</t>
  </si>
  <si>
    <t xml:space="preserve">SIGNAL LOG — capture the pain you hear</t>
  </si>
  <si>
    <t xml:space="preserve">The opportunity announces itself in complaints, not requirements. Tag each quote.</t>
  </si>
  <si>
    <t xml:space="preserve">Date</t>
  </si>
  <si>
    <t xml:space="preserve">Who said it</t>
  </si>
  <si>
    <t xml:space="preserve">Quote / pain point</t>
  </si>
  <si>
    <t xml:space="preserve">Signal family</t>
  </si>
  <si>
    <t xml:space="preserve">Maps to Q</t>
  </si>
  <si>
    <t xml:space="preserve">Candidate workflow</t>
  </si>
  <si>
    <t xml:space="preserve">Notes</t>
  </si>
  <si>
    <t xml:space="preserve">2026-05-12</t>
  </si>
  <si>
    <t xml:space="preserve">QA lead</t>
  </si>
  <si>
    <t xml:space="preserve">"Audit prep takes us offline for two weeks."</t>
  </si>
  <si>
    <t xml:space="preserve">Compliance</t>
  </si>
  <si>
    <t xml:space="preserve">Q3</t>
  </si>
  <si>
    <t xml:space="preserve">Audit-Evidence Rollup</t>
  </si>
  <si>
    <t xml:space="preserve">Active finding pending</t>
  </si>
  <si>
    <t xml:space="preserve">Scheduler</t>
  </si>
  <si>
    <t xml:space="preserve">"The job died at 2am and nobody noticed til Monday."</t>
  </si>
  <si>
    <t xml:space="preserve">Q1</t>
  </si>
  <si>
    <t xml:space="preserve">HPC Job Triage</t>
  </si>
  <si>
    <t xml:space="preserve">2026-05-13</t>
  </si>
  <si>
    <t xml:space="preserve">Receiving</t>
  </si>
  <si>
    <t xml:space="preserve">"Someone keys every supplier cert into three systems."</t>
  </si>
  <si>
    <t xml:space="preserve">Q4</t>
  </si>
  <si>
    <t xml:space="preserve">COA Intake</t>
  </si>
  <si>
    <t xml:space="preserve">WORKFLOW INVENTORY — candidate coworkers</t>
  </si>
  <si>
    <t xml:space="preserve">One row = one candidate. WF-ID is the join key used by every other sheet.</t>
  </si>
  <si>
    <t xml:space="preserve">WF-ID</t>
  </si>
  <si>
    <t xml:space="preserve">Workflow name</t>
  </si>
  <si>
    <t xml:space="preserve">Owner / team</t>
  </si>
  <si>
    <t xml:space="preserve">Question tags</t>
  </si>
  <si>
    <t xml:space="preserve">Combo play</t>
  </si>
  <si>
    <t xml:space="preserve">One-line description</t>
  </si>
  <si>
    <t xml:space="preserve">Status</t>
  </si>
  <si>
    <t xml:space="preserve">WF-01</t>
  </si>
  <si>
    <t xml:space="preserve">Receiving / QA</t>
  </si>
  <si>
    <t xml:space="preserve">Q1,Q4</t>
  </si>
  <si>
    <t xml:space="preserve">Automation</t>
  </si>
  <si>
    <t xml:space="preserve">Parse supplier certs, validate to spec, update ERP, flag out-of-spec</t>
  </si>
  <si>
    <t xml:space="preserve">Candidate</t>
  </si>
  <si>
    <t xml:space="preserve">WF-02</t>
  </si>
  <si>
    <t xml:space="preserve">ISSO / Compliance</t>
  </si>
  <si>
    <t xml:space="preserve">Q2,Q3,Q5</t>
  </si>
  <si>
    <t xml:space="preserve">Data Processing</t>
  </si>
  <si>
    <t xml:space="preserve">Assemble control evidence, cross-check, draft assessor-ready package</t>
  </si>
  <si>
    <t xml:space="preserve">WF-03</t>
  </si>
  <si>
    <t xml:space="preserve">HPC Ops</t>
  </si>
  <si>
    <t xml:space="preserve">Q1,Q3</t>
  </si>
  <si>
    <t xml:space="preserve">Expert Augmentation</t>
  </si>
  <si>
    <t xml:space="preserve">Watch scheduler, classify failures, remediate from memory, page PI</t>
  </si>
  <si>
    <t xml:space="preserve">PRIMITIVE MAP — push-down at process scale</t>
  </si>
  <si>
    <t xml:space="preserve">Decompose each workflow into steps. Map each to AI primitive, Script, or Human. Amber = where the human validator belongs.</t>
  </si>
  <si>
    <t xml:space="preserve">Step #</t>
  </si>
  <si>
    <t xml:space="preserve">Human step today</t>
  </si>
  <si>
    <t xml:space="preserve">Mapped to</t>
  </si>
  <si>
    <t xml:space="preserve">Which AI primitive</t>
  </si>
  <si>
    <t xml:space="preserve">Read incoming COA PDF</t>
  </si>
  <si>
    <t xml:space="preserve">AI</t>
  </si>
  <si>
    <t xml:space="preserve">Parse &amp; Extract</t>
  </si>
  <si>
    <t xml:space="preserve">Check values against spec</t>
  </si>
  <si>
    <t xml:space="preserve">Classify &amp; Prioritize</t>
  </si>
  <si>
    <t xml:space="preserve">Compute pass/fail + variance</t>
  </si>
  <si>
    <t xml:space="preserve">Script</t>
  </si>
  <si>
    <t xml:space="preserve">—</t>
  </si>
  <si>
    <t xml:space="preserve">Deterministic math</t>
  </si>
  <si>
    <t xml:space="preserve">Update ERP record</t>
  </si>
  <si>
    <t xml:space="preserve">Transform &amp; Map</t>
  </si>
  <si>
    <t xml:space="preserve">Path-A action</t>
  </si>
  <si>
    <t xml:space="preserve">Judge a novel out-of-spec tradeoff</t>
  </si>
  <si>
    <t xml:space="preserve">Human</t>
  </si>
  <si>
    <t xml:space="preserve">Validator decision</t>
  </si>
  <si>
    <t xml:space="preserve">Email buyer if out-of-spec</t>
  </si>
  <si>
    <t xml:space="preserve">Generate &amp; Compose</t>
  </si>
  <si>
    <t xml:space="preserve">via gateway</t>
  </si>
  <si>
    <t xml:space="preserve">Pull control evidence from systems</t>
  </si>
  <si>
    <t xml:space="preserve">Match &amp; Retrieve</t>
  </si>
  <si>
    <t xml:space="preserve">Cross-check evidence vs control text</t>
  </si>
  <si>
    <t xml:space="preserve">Reason &amp; Infer</t>
  </si>
  <si>
    <t xml:space="preserve">Assemble package in template</t>
  </si>
  <si>
    <t xml:space="preserve">Deterministic format</t>
  </si>
  <si>
    <t xml:space="preserve">Sign-off on assessor readiness</t>
  </si>
  <si>
    <t xml:space="preserve">Watch scheduler for failures</t>
  </si>
  <si>
    <t xml:space="preserve">Classify failure (OOM/node/config)</t>
  </si>
  <si>
    <t xml:space="preserve">Apply known remediation</t>
  </si>
  <si>
    <t xml:space="preserve">From allowlist</t>
  </si>
  <si>
    <t xml:space="preserve">Approve a NEW remediation</t>
  </si>
  <si>
    <t xml:space="preserve">Promotes to allowlist</t>
  </si>
  <si>
    <t xml:space="preserve">VALUE MODEL — quantify the six savings dimensions</t>
  </si>
  <si>
    <t xml:space="preserve">Blue = inputs you change · Black = formulas · references the yellow Assumptions block. One row per workflow.</t>
  </si>
  <si>
    <t xml:space="preserve">ASSUMPTIONS (edit)</t>
  </si>
  <si>
    <t xml:space="preserve">Loaded labor rate ($/hr)</t>
  </si>
  <si>
    <t xml:space="preserve">Expert labor rate ($/hr)</t>
  </si>
  <si>
    <t xml:space="preserve">Working hours / month</t>
  </si>
  <si>
    <t xml:space="preserve">Workflow</t>
  </si>
  <si>
    <t xml:space="preserve">Volume /mo</t>
  </si>
  <si>
    <t xml:space="preserve">Min /inst</t>
  </si>
  <si>
    <t xml:space="preserve">% auto</t>
  </si>
  <si>
    <t xml:space="preserve">Err today</t>
  </si>
  <si>
    <t xml:space="preserve">Err after</t>
  </si>
  <si>
    <t xml:space="preserve">Cost/err $</t>
  </si>
  <si>
    <t xml:space="preserve">Systems</t>
  </si>
  <si>
    <t xml:space="preserve">Handoffs</t>
  </si>
  <si>
    <t xml:space="preserve">Frict today</t>
  </si>
  <si>
    <t xml:space="preserve">Frict after</t>
  </si>
  <si>
    <t xml:space="preserve">Expert hrs/mo</t>
  </si>
  <si>
    <t xml:space="preserve">SPOF?</t>
  </si>
  <si>
    <t xml:space="preserve">Backlog</t>
  </si>
  <si>
    <t xml:space="preserve">Growth</t>
  </si>
  <si>
    <t xml:space="preserve">Hrs reclaimed /mo</t>
  </si>
  <si>
    <t xml:space="preserve">Labor $ saved /mo</t>
  </si>
  <si>
    <t xml:space="preserve">Risk $ avoided /mo</t>
  </si>
  <si>
    <t xml:space="preserve">Frict reduction</t>
  </si>
  <si>
    <t xml:space="preserve">Months to drain backlog</t>
  </si>
  <si>
    <t xml:space="preserve">Expert $ reclaimed /mo</t>
  </si>
  <si>
    <t xml:space="preserve">Total value /mo</t>
  </si>
  <si>
    <t xml:space="preserve">Total value /yr</t>
  </si>
  <si>
    <t xml:space="preserve">N</t>
  </si>
  <si>
    <t xml:space="preserve">Y</t>
  </si>
  <si>
    <t xml:space="preserve">TOTAL (all candidates)</t>
  </si>
  <si>
    <t xml:space="preserve">Note: 'Months to drain backlog' assumes reclaimed hours redeployed to the queue at today's pace. Friction reduction is a 1–5 index delta (touched-systems/handoffs drop).</t>
  </si>
  <si>
    <t xml:space="preserve">SCORECARD — rank the candidates, start with one</t>
  </si>
  <si>
    <t xml:space="preserve">Value pulled from Value_Model (green). Add 1–5 judgment scores (blue). Priority ranks them. Start with the top row.</t>
  </si>
  <si>
    <t xml:space="preserve">Weights →</t>
  </si>
  <si>
    <t xml:space="preserve">value 0.5 / feasibility 0.25 / recoverability 0.25 (baked into formula)</t>
  </si>
  <si>
    <t xml:space="preserve">Feasibility (1-5)</t>
  </si>
  <si>
    <t xml:space="preserve">Recoverable? (1-5)</t>
  </si>
  <si>
    <t xml:space="preserve">Validator ready (1-5)</t>
  </si>
  <si>
    <t xml:space="preserve">Data ready (1-5)</t>
  </si>
  <si>
    <t xml:space="preserve">Priority score</t>
  </si>
  <si>
    <t xml:space="preserve">Rank</t>
  </si>
  <si>
    <t xml:space="preserve">BUILD PLAN — assemble the winner from the whole stack</t>
  </si>
  <si>
    <t xml:space="preserve">One page for the selected workflow. Fill the winner (top of Scorecard). Blue = your inputs.</t>
  </si>
  <si>
    <t xml:space="preserve">Workflow (winner)</t>
  </si>
  <si>
    <t xml:space="preserve">Estimated value / yr</t>
  </si>
  <si>
    <t xml:space="preserve">Primitive chain (→ the workflow)</t>
  </si>
  <si>
    <t xml:space="preserve">Parse → Classify → Reason → Transform → Generate</t>
  </si>
  <si>
    <t xml:space="preserve">Steps that become SKILLS</t>
  </si>
  <si>
    <t xml:space="preserve">Steps pushed down to SCRIPTS</t>
  </si>
  <si>
    <t xml:space="preserve">IDENTITY that sets the standard</t>
  </si>
  <si>
    <t xml:space="preserve">GATEWAY (where it reaches people)</t>
  </si>
  <si>
    <t xml:space="preserve">Slack / Teams / email / ticketing</t>
  </si>
  <si>
    <t xml:space="preserve">GUARDRAILS (irreversible steps → Path-A / HITL)</t>
  </si>
  <si>
    <t xml:space="preserve">30-day metric (tie to dominant value dim)</t>
  </si>
  <si>
    <t xml:space="preserve">Human validation path (who checks; what promotes to lessons)</t>
  </si>
  <si>
    <t xml:space="preserve">Deploy on (GB10 → PowerEdge)</t>
  </si>
  <si>
    <t xml:space="preserve">GB10 desk · POC</t>
  </si>
  <si>
    <t xml:space="preserve">First move (narrow role → run well → tenure → expand)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</si>
</sst>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0"/>
    <numFmt numFmtId="168" formatCode="0%"/>
    <numFmt numFmtId="169" formatCode="#,##0.0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44546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6CA4"/>
        <bgColor rgb="FF4F81BD"/>
      </patternFill>
    </fill>
    <fill>
      <patternFill patternType="solid">
        <fgColor rgb="FFFFF2CC"/>
        <bgColor rgb="FFFCE4A6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>
          <bgColor rgb="FFFCE4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CE6F1"/>
      <rgbColor rgb="FF660066"/>
      <rgbColor rgb="FFFF8080"/>
      <rgbColor rgb="FF2E6C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FF99"/>
      <rgbColor rgb="FF99CCFF"/>
      <rgbColor rgb="FFFF99CC"/>
      <rgbColor rgb="FFCC99FF"/>
      <rgbColor rgb="FFFCE4A6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1F3A5F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value by source ($/yr basis = monthly ×12)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Value_Model!R8</c:f>
              <c:strCache>
                <c:ptCount val="1"/>
                <c:pt idx="0">
                  <c:v>Labor $ saved /mo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Value_Model!$B$9:$B$11</c:f>
              <c:strCache>
                <c:ptCount val="3"/>
                <c:pt idx="0">
                  <c:v>COA Intake</c:v>
                </c:pt>
                <c:pt idx="1">
                  <c:v>Audit-Evidence Rollup</c:v>
                </c:pt>
                <c:pt idx="2">
                  <c:v>HPC Job Triage</c:v>
                </c:pt>
              </c:strCache>
            </c:strRef>
          </c:cat>
          <c:val>
            <c:numRef>
              <c:f>Value_Model!$R$9:$R$11</c:f>
              <c:numCache>
                <c:formatCode>\$#,##0</c:formatCode>
                <c:ptCount val="3"/>
                <c:pt idx="0">
                  <c:v>10000</c:v>
                </c:pt>
                <c:pt idx="1">
                  <c:v>1575</c:v>
                </c:pt>
                <c:pt idx="2">
                  <c:v>8437.5</c:v>
                </c:pt>
              </c:numCache>
            </c:numRef>
          </c:val>
        </c:ser>
        <c:ser>
          <c:idx val="1"/>
          <c:order val="1"/>
          <c:tx>
            <c:strRef>
              <c:f>Value_Model!S8</c:f>
              <c:strCache>
                <c:ptCount val="1"/>
                <c:pt idx="0">
                  <c:v>Risk $ avoided /mo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Value_Model!$B$9:$B$11</c:f>
              <c:strCache>
                <c:ptCount val="3"/>
                <c:pt idx="0">
                  <c:v>COA Intake</c:v>
                </c:pt>
                <c:pt idx="1">
                  <c:v>Audit-Evidence Rollup</c:v>
                </c:pt>
                <c:pt idx="2">
                  <c:v>HPC Job Triage</c:v>
                </c:pt>
              </c:strCache>
            </c:strRef>
          </c:cat>
          <c:val>
            <c:numRef>
              <c:f>Value_Model!$S$9:$S$11</c:f>
              <c:numCache>
                <c:formatCode>\$#,##0</c:formatCode>
                <c:ptCount val="3"/>
                <c:pt idx="0">
                  <c:v>6000</c:v>
                </c:pt>
                <c:pt idx="1">
                  <c:v>1000</c:v>
                </c:pt>
                <c:pt idx="2">
                  <c:v>5040</c:v>
                </c:pt>
              </c:numCache>
            </c:numRef>
          </c:val>
        </c:ser>
        <c:ser>
          <c:idx val="2"/>
          <c:order val="2"/>
          <c:tx>
            <c:strRef>
              <c:f>Value_Model!V8</c:f>
              <c:strCache>
                <c:ptCount val="1"/>
                <c:pt idx="0">
                  <c:v>Expert $ reclaimed /mo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Value_Model!$B$9:$B$11</c:f>
              <c:strCache>
                <c:ptCount val="3"/>
                <c:pt idx="0">
                  <c:v>COA Intake</c:v>
                </c:pt>
                <c:pt idx="1">
                  <c:v>Audit-Evidence Rollup</c:v>
                </c:pt>
                <c:pt idx="2">
                  <c:v>HPC Job Triage</c:v>
                </c:pt>
              </c:strCache>
            </c:strRef>
          </c:cat>
          <c:val>
            <c:numRef>
              <c:f>Value_Model!$V$9:$V$11</c:f>
              <c:numCache>
                <c:formatCode>\$#,##0</c:formatCode>
                <c:ptCount val="3"/>
                <c:pt idx="0">
                  <c:v>0</c:v>
                </c:pt>
                <c:pt idx="1">
                  <c:v>3960</c:v>
                </c:pt>
                <c:pt idx="2">
                  <c:v>1320</c:v>
                </c:pt>
              </c:numCache>
            </c:numRef>
          </c:val>
        </c:ser>
        <c:gapWidth val="150"/>
        <c:overlap val="100"/>
        <c:axId val="70148292"/>
        <c:axId val="50400780"/>
      </c:barChart>
      <c:catAx>
        <c:axId val="70148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400780"/>
        <c:crosses val="autoZero"/>
        <c:auto val="1"/>
        <c:lblAlgn val="ctr"/>
        <c:lblOffset val="100"/>
        <c:noMultiLvlLbl val="0"/>
      </c:catAx>
      <c:valAx>
        <c:axId val="5040078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1482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332280</xdr:colOff>
      <xdr:row>32</xdr:row>
      <xdr:rowOff>32400</xdr:rowOff>
    </xdr:to>
    <xdr:graphicFrame>
      <xdr:nvGraphicFramePr>
        <xdr:cNvPr id="1" name="Chart 1"/>
        <xdr:cNvGraphicFramePr/>
      </xdr:nvGraphicFramePr>
      <xdr:xfrm>
        <a:off x="563760" y="382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  <c r="F12" s="3"/>
    </row>
    <row r="13" customFormat="false" ht="23.85" hidden="false" customHeight="false" outlineLevel="0" collapsed="false">
      <c r="A13" s="5" t="s">
        <v>10</v>
      </c>
      <c r="B13" s="5" t="s">
        <v>11</v>
      </c>
      <c r="C13" s="5" t="s">
        <v>12</v>
      </c>
    </row>
    <row r="14" customFormat="false" ht="15" hidden="false" customHeight="true" outlineLevel="0" collapsed="false">
      <c r="A14" s="6" t="s">
        <v>13</v>
      </c>
      <c r="B14" s="7" t="s">
        <v>14</v>
      </c>
      <c r="C14" s="7"/>
      <c r="D14" s="7" t="s">
        <v>15</v>
      </c>
      <c r="E14" s="7"/>
      <c r="F14" s="7"/>
    </row>
    <row r="15" customFormat="false" ht="15" hidden="false" customHeight="true" outlineLevel="0" collapsed="false">
      <c r="A15" s="6" t="s">
        <v>16</v>
      </c>
      <c r="B15" s="7" t="s">
        <v>17</v>
      </c>
      <c r="C15" s="7"/>
      <c r="D15" s="7" t="s">
        <v>18</v>
      </c>
      <c r="E15" s="7"/>
      <c r="F15" s="7"/>
    </row>
    <row r="16" customFormat="false" ht="15" hidden="false" customHeight="true" outlineLevel="0" collapsed="false">
      <c r="A16" s="6" t="s">
        <v>19</v>
      </c>
      <c r="B16" s="7" t="s">
        <v>20</v>
      </c>
      <c r="C16" s="7"/>
      <c r="D16" s="7" t="s">
        <v>21</v>
      </c>
      <c r="E16" s="7"/>
      <c r="F16" s="7"/>
    </row>
    <row r="17" customFormat="false" ht="23.85" hidden="false" customHeight="true" outlineLevel="0" collapsed="false">
      <c r="A17" s="6" t="s">
        <v>22</v>
      </c>
      <c r="B17" s="7" t="s">
        <v>23</v>
      </c>
      <c r="C17" s="7"/>
      <c r="D17" s="7" t="s">
        <v>24</v>
      </c>
      <c r="E17" s="7"/>
      <c r="F17" s="7"/>
    </row>
    <row r="18" customFormat="false" ht="23.85" hidden="false" customHeight="true" outlineLevel="0" collapsed="false">
      <c r="A18" s="6" t="s">
        <v>25</v>
      </c>
      <c r="B18" s="7" t="s">
        <v>26</v>
      </c>
      <c r="C18" s="7"/>
      <c r="D18" s="7" t="s">
        <v>27</v>
      </c>
      <c r="E18" s="7"/>
      <c r="F18" s="7"/>
    </row>
    <row r="19" customFormat="false" ht="15" hidden="false" customHeight="true" outlineLevel="0" collapsed="false">
      <c r="A19" s="6" t="s">
        <v>28</v>
      </c>
      <c r="B19" s="7" t="s">
        <v>29</v>
      </c>
      <c r="C19" s="7"/>
      <c r="D19" s="7" t="s">
        <v>30</v>
      </c>
      <c r="E19" s="7"/>
      <c r="F19" s="7"/>
    </row>
    <row r="21" customFormat="false" ht="15" hidden="false" customHeight="false" outlineLevel="0" collapsed="false">
      <c r="A21" s="3" t="s">
        <v>31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8" t="s">
        <v>32</v>
      </c>
      <c r="B22" s="9" t="s">
        <v>33</v>
      </c>
      <c r="C22" s="9"/>
      <c r="D22" s="9"/>
      <c r="E22" s="9"/>
      <c r="F22" s="9"/>
    </row>
    <row r="23" customFormat="false" ht="15" hidden="false" customHeight="false" outlineLevel="0" collapsed="false">
      <c r="A23" s="10" t="s">
        <v>34</v>
      </c>
      <c r="B23" s="9" t="s">
        <v>35</v>
      </c>
      <c r="C23" s="9"/>
      <c r="D23" s="9"/>
      <c r="E23" s="9"/>
      <c r="F23" s="9"/>
    </row>
    <row r="24" customFormat="false" ht="15" hidden="false" customHeight="false" outlineLevel="0" collapsed="false">
      <c r="A24" s="11" t="s">
        <v>36</v>
      </c>
      <c r="B24" s="9" t="s">
        <v>37</v>
      </c>
      <c r="C24" s="9"/>
      <c r="D24" s="9"/>
      <c r="E24" s="9"/>
      <c r="F24" s="9"/>
    </row>
    <row r="25" customFormat="false" ht="15" hidden="false" customHeight="false" outlineLevel="0" collapsed="false">
      <c r="A25" s="12" t="s">
        <v>38</v>
      </c>
      <c r="B25" s="9" t="s">
        <v>39</v>
      </c>
      <c r="C25" s="9"/>
      <c r="D25" s="9"/>
      <c r="E25" s="9"/>
      <c r="F25" s="9"/>
    </row>
    <row r="27" customFormat="false" ht="43.5" hidden="false" customHeight="true" outlineLevel="0" collapsed="false">
      <c r="A27" s="13" t="s">
        <v>40</v>
      </c>
      <c r="B27" s="13"/>
      <c r="C27" s="13"/>
      <c r="D27" s="13"/>
      <c r="E27" s="13"/>
      <c r="F27" s="13"/>
    </row>
  </sheetData>
  <mergeCells count="28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2:F12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A21:F21"/>
    <mergeCell ref="B22:F22"/>
    <mergeCell ref="B23:F23"/>
    <mergeCell ref="B24:F24"/>
    <mergeCell ref="B25:F25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" t="s">
        <v>41</v>
      </c>
      <c r="B1" s="1"/>
      <c r="C1" s="1"/>
      <c r="D1" s="1"/>
    </row>
    <row r="2" customFormat="false" ht="15.75" hidden="false" customHeight="true" outlineLevel="0" collapsed="false">
      <c r="A2" s="2" t="s">
        <v>42</v>
      </c>
      <c r="B2" s="2"/>
      <c r="C2" s="2"/>
      <c r="D2" s="2"/>
    </row>
    <row r="3" customFormat="false" ht="15" hidden="false" customHeight="false" outlineLevel="0" collapsed="false">
      <c r="A3" s="5" t="s">
        <v>43</v>
      </c>
      <c r="B3" s="5" t="s">
        <v>44</v>
      </c>
      <c r="C3" s="5" t="s">
        <v>45</v>
      </c>
      <c r="D3" s="5" t="s">
        <v>46</v>
      </c>
    </row>
    <row r="4" customFormat="false" ht="54" hidden="false" customHeight="true" outlineLevel="0" collapsed="false">
      <c r="A4" s="14" t="s">
        <v>47</v>
      </c>
      <c r="B4" s="7" t="s">
        <v>48</v>
      </c>
      <c r="C4" s="7" t="s">
        <v>49</v>
      </c>
      <c r="D4" s="7" t="s">
        <v>50</v>
      </c>
    </row>
    <row r="5" customFormat="false" ht="54" hidden="false" customHeight="true" outlineLevel="0" collapsed="false">
      <c r="A5" s="14" t="s">
        <v>51</v>
      </c>
      <c r="B5" s="7" t="s">
        <v>52</v>
      </c>
      <c r="C5" s="7" t="s">
        <v>53</v>
      </c>
      <c r="D5" s="7" t="s">
        <v>54</v>
      </c>
    </row>
    <row r="6" customFormat="false" ht="54" hidden="false" customHeight="true" outlineLevel="0" collapsed="false">
      <c r="A6" s="14" t="s">
        <v>55</v>
      </c>
      <c r="B6" s="7" t="s">
        <v>56</v>
      </c>
      <c r="C6" s="7" t="s">
        <v>57</v>
      </c>
      <c r="D6" s="7" t="s">
        <v>58</v>
      </c>
    </row>
    <row r="7" customFormat="false" ht="54" hidden="false" customHeight="true" outlineLevel="0" collapsed="false">
      <c r="A7" s="14" t="s">
        <v>59</v>
      </c>
      <c r="B7" s="7" t="s">
        <v>60</v>
      </c>
      <c r="C7" s="7" t="s">
        <v>61</v>
      </c>
      <c r="D7" s="7" t="s">
        <v>62</v>
      </c>
    </row>
    <row r="8" customFormat="false" ht="54" hidden="false" customHeight="true" outlineLevel="0" collapsed="false">
      <c r="A8" s="14" t="s">
        <v>63</v>
      </c>
      <c r="B8" s="7" t="s">
        <v>64</v>
      </c>
      <c r="C8" s="7" t="s">
        <v>65</v>
      </c>
      <c r="D8" s="7" t="s">
        <v>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68</v>
      </c>
      <c r="B2" s="2"/>
      <c r="C2" s="2"/>
      <c r="D2" s="2"/>
      <c r="E2" s="2"/>
      <c r="F2" s="2"/>
      <c r="G2" s="2"/>
    </row>
    <row r="3" customFormat="false" ht="23.85" hidden="false" customHeight="false" outlineLevel="0" collapsed="false">
      <c r="A3" s="5" t="s">
        <v>69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74</v>
      </c>
      <c r="G3" s="5" t="s">
        <v>75</v>
      </c>
    </row>
    <row r="4" customFormat="false" ht="15" hidden="false" customHeight="false" outlineLevel="0" collapsed="false">
      <c r="A4" s="7" t="s">
        <v>76</v>
      </c>
      <c r="B4" s="7" t="s">
        <v>77</v>
      </c>
      <c r="C4" s="7" t="s">
        <v>78</v>
      </c>
      <c r="D4" s="7" t="s">
        <v>79</v>
      </c>
      <c r="E4" s="7" t="s">
        <v>80</v>
      </c>
      <c r="F4" s="7" t="s">
        <v>81</v>
      </c>
      <c r="G4" s="7" t="s">
        <v>82</v>
      </c>
    </row>
    <row r="5" customFormat="false" ht="15" hidden="false" customHeight="false" outlineLevel="0" collapsed="false">
      <c r="A5" s="7" t="s">
        <v>76</v>
      </c>
      <c r="B5" s="7" t="s">
        <v>83</v>
      </c>
      <c r="C5" s="7" t="s">
        <v>84</v>
      </c>
      <c r="D5" s="7" t="s">
        <v>13</v>
      </c>
      <c r="E5" s="7" t="s">
        <v>85</v>
      </c>
      <c r="F5" s="7" t="s">
        <v>86</v>
      </c>
      <c r="G5" s="7"/>
    </row>
    <row r="6" customFormat="false" ht="15" hidden="false" customHeight="false" outlineLevel="0" collapsed="false">
      <c r="A6" s="7" t="s">
        <v>87</v>
      </c>
      <c r="B6" s="7" t="s">
        <v>88</v>
      </c>
      <c r="C6" s="7" t="s">
        <v>89</v>
      </c>
      <c r="D6" s="7" t="s">
        <v>22</v>
      </c>
      <c r="E6" s="7" t="s">
        <v>90</v>
      </c>
      <c r="F6" s="7" t="s">
        <v>91</v>
      </c>
      <c r="G6" s="7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D4:D18" type="list">
      <formula1>"Time,Error,Compliance,Scale,Expertise,Comms"</formula1>
      <formula2>0</formula2>
    </dataValidation>
    <dataValidation allowBlank="true" errorStyle="stop" operator="between" showDropDown="false" showErrorMessage="false" showInputMessage="false" sqref="E4:E18" type="list">
      <formula1>"Q1,Q2,Q3,Q4,Q5"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5" t="s">
        <v>94</v>
      </c>
      <c r="B3" s="5" t="s">
        <v>95</v>
      </c>
      <c r="C3" s="5" t="s">
        <v>96</v>
      </c>
      <c r="D3" s="5" t="s">
        <v>97</v>
      </c>
      <c r="E3" s="5" t="s">
        <v>98</v>
      </c>
      <c r="F3" s="5" t="s">
        <v>99</v>
      </c>
      <c r="G3" s="5" t="s">
        <v>100</v>
      </c>
    </row>
    <row r="4" customFormat="false" ht="30" hidden="false" customHeight="true" outlineLevel="0" collapsed="false">
      <c r="A4" s="14" t="s">
        <v>101</v>
      </c>
      <c r="B4" s="7" t="s">
        <v>91</v>
      </c>
      <c r="C4" s="7" t="s">
        <v>102</v>
      </c>
      <c r="D4" s="7" t="s">
        <v>103</v>
      </c>
      <c r="E4" s="7" t="s">
        <v>104</v>
      </c>
      <c r="F4" s="7" t="s">
        <v>105</v>
      </c>
      <c r="G4" s="7" t="s">
        <v>106</v>
      </c>
    </row>
    <row r="5" customFormat="false" ht="30" hidden="false" customHeight="true" outlineLevel="0" collapsed="false">
      <c r="A5" s="14" t="s">
        <v>107</v>
      </c>
      <c r="B5" s="7" t="s">
        <v>81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106</v>
      </c>
    </row>
    <row r="6" customFormat="false" ht="30" hidden="false" customHeight="true" outlineLevel="0" collapsed="false">
      <c r="A6" s="14" t="s">
        <v>112</v>
      </c>
      <c r="B6" s="7" t="s">
        <v>86</v>
      </c>
      <c r="C6" s="7" t="s">
        <v>113</v>
      </c>
      <c r="D6" s="7" t="s">
        <v>114</v>
      </c>
      <c r="E6" s="7" t="s">
        <v>115</v>
      </c>
      <c r="F6" s="7" t="s">
        <v>116</v>
      </c>
      <c r="G6" s="7" t="s">
        <v>106</v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E4:E14" type="list">
      <formula1>"Automation,Data Processing,Expert Augmentation,Full Lifecycle"</formula1>
      <formula2>0</formula2>
    </dataValidation>
    <dataValidation allowBlank="true" errorStyle="stop" operator="between" showDropDown="false" showErrorMessage="false" showInputMessage="false" sqref="G4:G14" type="list">
      <formula1>"Candidate,Selected,Building,Live,Parked"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117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118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5" t="s">
        <v>94</v>
      </c>
      <c r="B3" s="5" t="s">
        <v>119</v>
      </c>
      <c r="C3" s="5" t="s">
        <v>120</v>
      </c>
      <c r="D3" s="5" t="s">
        <v>121</v>
      </c>
      <c r="E3" s="5" t="s">
        <v>122</v>
      </c>
      <c r="F3" s="5" t="s">
        <v>75</v>
      </c>
    </row>
    <row r="4" customFormat="false" ht="15" hidden="false" customHeight="false" outlineLevel="0" collapsed="false">
      <c r="A4" s="16" t="s">
        <v>101</v>
      </c>
      <c r="B4" s="16" t="n">
        <v>1</v>
      </c>
      <c r="C4" s="7" t="s">
        <v>123</v>
      </c>
      <c r="D4" s="16" t="s">
        <v>124</v>
      </c>
      <c r="E4" s="16" t="s">
        <v>125</v>
      </c>
      <c r="F4" s="7"/>
    </row>
    <row r="5" customFormat="false" ht="15" hidden="false" customHeight="false" outlineLevel="0" collapsed="false">
      <c r="A5" s="16" t="s">
        <v>101</v>
      </c>
      <c r="B5" s="16" t="n">
        <v>2</v>
      </c>
      <c r="C5" s="7" t="s">
        <v>126</v>
      </c>
      <c r="D5" s="16" t="s">
        <v>124</v>
      </c>
      <c r="E5" s="16" t="s">
        <v>127</v>
      </c>
      <c r="F5" s="7"/>
    </row>
    <row r="6" customFormat="false" ht="15" hidden="false" customHeight="false" outlineLevel="0" collapsed="false">
      <c r="A6" s="16" t="s">
        <v>101</v>
      </c>
      <c r="B6" s="16" t="n">
        <v>3</v>
      </c>
      <c r="C6" s="7" t="s">
        <v>128</v>
      </c>
      <c r="D6" s="16" t="s">
        <v>129</v>
      </c>
      <c r="E6" s="16" t="s">
        <v>130</v>
      </c>
      <c r="F6" s="7" t="s">
        <v>131</v>
      </c>
    </row>
    <row r="7" customFormat="false" ht="15" hidden="false" customHeight="false" outlineLevel="0" collapsed="false">
      <c r="A7" s="16" t="s">
        <v>101</v>
      </c>
      <c r="B7" s="16" t="n">
        <v>4</v>
      </c>
      <c r="C7" s="7" t="s">
        <v>132</v>
      </c>
      <c r="D7" s="16" t="s">
        <v>124</v>
      </c>
      <c r="E7" s="16" t="s">
        <v>133</v>
      </c>
      <c r="F7" s="7" t="s">
        <v>134</v>
      </c>
    </row>
    <row r="8" customFormat="false" ht="15" hidden="false" customHeight="false" outlineLevel="0" collapsed="false">
      <c r="A8" s="16" t="s">
        <v>101</v>
      </c>
      <c r="B8" s="16" t="n">
        <v>5</v>
      </c>
      <c r="C8" s="7" t="s">
        <v>135</v>
      </c>
      <c r="D8" s="16" t="s">
        <v>136</v>
      </c>
      <c r="E8" s="16" t="s">
        <v>130</v>
      </c>
      <c r="F8" s="7" t="s">
        <v>137</v>
      </c>
    </row>
    <row r="9" customFormat="false" ht="15" hidden="false" customHeight="false" outlineLevel="0" collapsed="false">
      <c r="A9" s="16" t="s">
        <v>101</v>
      </c>
      <c r="B9" s="16" t="n">
        <v>6</v>
      </c>
      <c r="C9" s="7" t="s">
        <v>138</v>
      </c>
      <c r="D9" s="16" t="s">
        <v>124</v>
      </c>
      <c r="E9" s="16" t="s">
        <v>139</v>
      </c>
      <c r="F9" s="7" t="s">
        <v>140</v>
      </c>
    </row>
    <row r="10" customFormat="false" ht="15" hidden="false" customHeight="false" outlineLevel="0" collapsed="false">
      <c r="A10" s="16" t="s">
        <v>107</v>
      </c>
      <c r="B10" s="16" t="n">
        <v>1</v>
      </c>
      <c r="C10" s="7" t="s">
        <v>141</v>
      </c>
      <c r="D10" s="16" t="s">
        <v>124</v>
      </c>
      <c r="E10" s="16" t="s">
        <v>142</v>
      </c>
      <c r="F10" s="7"/>
    </row>
    <row r="11" customFormat="false" ht="15" hidden="false" customHeight="false" outlineLevel="0" collapsed="false">
      <c r="A11" s="16" t="s">
        <v>107</v>
      </c>
      <c r="B11" s="16" t="n">
        <v>2</v>
      </c>
      <c r="C11" s="7" t="s">
        <v>143</v>
      </c>
      <c r="D11" s="16" t="s">
        <v>124</v>
      </c>
      <c r="E11" s="16" t="s">
        <v>144</v>
      </c>
      <c r="F11" s="7"/>
    </row>
    <row r="12" customFormat="false" ht="15" hidden="false" customHeight="false" outlineLevel="0" collapsed="false">
      <c r="A12" s="16" t="s">
        <v>107</v>
      </c>
      <c r="B12" s="16" t="n">
        <v>3</v>
      </c>
      <c r="C12" s="7" t="s">
        <v>145</v>
      </c>
      <c r="D12" s="16" t="s">
        <v>129</v>
      </c>
      <c r="E12" s="16" t="s">
        <v>130</v>
      </c>
      <c r="F12" s="7" t="s">
        <v>146</v>
      </c>
    </row>
    <row r="13" customFormat="false" ht="15" hidden="false" customHeight="false" outlineLevel="0" collapsed="false">
      <c r="A13" s="16" t="s">
        <v>107</v>
      </c>
      <c r="B13" s="16" t="n">
        <v>4</v>
      </c>
      <c r="C13" s="7" t="s">
        <v>147</v>
      </c>
      <c r="D13" s="16" t="s">
        <v>136</v>
      </c>
      <c r="E13" s="16" t="s">
        <v>130</v>
      </c>
      <c r="F13" s="7" t="s">
        <v>137</v>
      </c>
    </row>
    <row r="14" customFormat="false" ht="15" hidden="false" customHeight="false" outlineLevel="0" collapsed="false">
      <c r="A14" s="16" t="s">
        <v>112</v>
      </c>
      <c r="B14" s="16" t="n">
        <v>1</v>
      </c>
      <c r="C14" s="7" t="s">
        <v>148</v>
      </c>
      <c r="D14" s="16" t="s">
        <v>124</v>
      </c>
      <c r="E14" s="16" t="s">
        <v>125</v>
      </c>
      <c r="F14" s="7"/>
    </row>
    <row r="15" customFormat="false" ht="15" hidden="false" customHeight="false" outlineLevel="0" collapsed="false">
      <c r="A15" s="16" t="s">
        <v>112</v>
      </c>
      <c r="B15" s="16" t="n">
        <v>2</v>
      </c>
      <c r="C15" s="7" t="s">
        <v>149</v>
      </c>
      <c r="D15" s="16" t="s">
        <v>124</v>
      </c>
      <c r="E15" s="16" t="s">
        <v>127</v>
      </c>
      <c r="F15" s="7"/>
    </row>
    <row r="16" customFormat="false" ht="15" hidden="false" customHeight="false" outlineLevel="0" collapsed="false">
      <c r="A16" s="16" t="s">
        <v>112</v>
      </c>
      <c r="B16" s="16" t="n">
        <v>3</v>
      </c>
      <c r="C16" s="7" t="s">
        <v>150</v>
      </c>
      <c r="D16" s="16" t="s">
        <v>129</v>
      </c>
      <c r="E16" s="16" t="s">
        <v>130</v>
      </c>
      <c r="F16" s="7" t="s">
        <v>151</v>
      </c>
    </row>
    <row r="17" customFormat="false" ht="15" hidden="false" customHeight="false" outlineLevel="0" collapsed="false">
      <c r="A17" s="16" t="s">
        <v>112</v>
      </c>
      <c r="B17" s="16" t="n">
        <v>4</v>
      </c>
      <c r="C17" s="7" t="s">
        <v>152</v>
      </c>
      <c r="D17" s="16" t="s">
        <v>136</v>
      </c>
      <c r="E17" s="16" t="s">
        <v>130</v>
      </c>
      <c r="F17" s="7" t="s">
        <v>153</v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</sheetData>
  <mergeCells count="2">
    <mergeCell ref="A1:F1"/>
    <mergeCell ref="A2:F2"/>
  </mergeCells>
  <conditionalFormatting sqref="D4:D23">
    <cfRule type="cellIs" priority="2" operator="equal" aboveAverage="0" equalAverage="0" bottom="0" percent="0" rank="0" text="" dxfId="0">
      <formula>"AI"</formula>
    </cfRule>
    <cfRule type="cellIs" priority="3" operator="equal" aboveAverage="0" equalAverage="0" bottom="0" percent="0" rank="0" text="" dxfId="1">
      <formula>"Script"</formula>
    </cfRule>
    <cfRule type="cellIs" priority="4" operator="equal" aboveAverage="0" equalAverage="0" bottom="0" percent="0" rank="0" text="" dxfId="2">
      <formula>"Human"</formula>
    </cfRule>
  </conditionalFormatting>
  <dataValidations count="2">
    <dataValidation allowBlank="true" errorStyle="stop" operator="between" showDropDown="false" showErrorMessage="false" showInputMessage="false" sqref="D4:D23" type="list">
      <formula1>"AI,Script,Human"</formula1>
      <formula2>0</formula2>
    </dataValidation>
    <dataValidation allowBlank="true" errorStyle="stop" operator="between" showDropDown="false" showErrorMessage="false" showInputMessage="false" sqref="E4:E23" type="list">
      <formula1>"Parse &amp; Extract,Semantic Understanding,Generate &amp; Compose,Reason &amp; Infer,Classify &amp; Prioritize,Match &amp; Retrieve,Transform &amp; Map,Role Emulation,Memory &amp; Context,Plan &amp; Decompose,Self-Evaluate &amp; Correct,—"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24" min="3" style="0" width="11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17" t="s">
        <v>156</v>
      </c>
    </row>
    <row r="4" customFormat="false" ht="15" hidden="false" customHeight="false" outlineLevel="0" collapsed="false">
      <c r="A4" s="18" t="s">
        <v>157</v>
      </c>
      <c r="B4" s="18"/>
      <c r="C4" s="19" t="n">
        <v>75</v>
      </c>
    </row>
    <row r="5" customFormat="false" ht="15" hidden="false" customHeight="false" outlineLevel="0" collapsed="false">
      <c r="A5" s="18" t="s">
        <v>158</v>
      </c>
      <c r="B5" s="18"/>
      <c r="C5" s="19" t="n">
        <v>165</v>
      </c>
    </row>
    <row r="6" customFormat="false" ht="15" hidden="false" customHeight="false" outlineLevel="0" collapsed="false">
      <c r="A6" s="18" t="s">
        <v>159</v>
      </c>
      <c r="B6" s="18"/>
      <c r="C6" s="20" t="n">
        <v>160</v>
      </c>
    </row>
    <row r="8" customFormat="false" ht="35.05" hidden="false" customHeight="false" outlineLevel="0" collapsed="false">
      <c r="A8" s="5" t="s">
        <v>94</v>
      </c>
      <c r="B8" s="5" t="s">
        <v>160</v>
      </c>
      <c r="C8" s="5" t="s">
        <v>161</v>
      </c>
      <c r="D8" s="5" t="s">
        <v>162</v>
      </c>
      <c r="E8" s="5" t="s">
        <v>163</v>
      </c>
      <c r="F8" s="5" t="s">
        <v>164</v>
      </c>
      <c r="G8" s="5" t="s">
        <v>165</v>
      </c>
      <c r="H8" s="5" t="s">
        <v>166</v>
      </c>
      <c r="I8" s="5" t="s">
        <v>167</v>
      </c>
      <c r="J8" s="5" t="s">
        <v>168</v>
      </c>
      <c r="K8" s="5" t="s">
        <v>169</v>
      </c>
      <c r="L8" s="5" t="s">
        <v>170</v>
      </c>
      <c r="M8" s="5" t="s">
        <v>171</v>
      </c>
      <c r="N8" s="5" t="s">
        <v>172</v>
      </c>
      <c r="O8" s="5" t="s">
        <v>173</v>
      </c>
      <c r="P8" s="5" t="s">
        <v>174</v>
      </c>
      <c r="Q8" s="5" t="s">
        <v>175</v>
      </c>
      <c r="R8" s="5" t="s">
        <v>176</v>
      </c>
      <c r="S8" s="5" t="s">
        <v>177</v>
      </c>
      <c r="T8" s="5" t="s">
        <v>178</v>
      </c>
      <c r="U8" s="5" t="s">
        <v>179</v>
      </c>
      <c r="V8" s="5" t="s">
        <v>180</v>
      </c>
      <c r="W8" s="5" t="s">
        <v>181</v>
      </c>
      <c r="X8" s="5" t="s">
        <v>182</v>
      </c>
    </row>
    <row r="9" customFormat="false" ht="15" hidden="false" customHeight="false" outlineLevel="0" collapsed="false">
      <c r="A9" s="6" t="s">
        <v>101</v>
      </c>
      <c r="B9" s="21" t="s">
        <v>91</v>
      </c>
      <c r="C9" s="22" t="n">
        <v>400</v>
      </c>
      <c r="D9" s="23" t="n">
        <v>25</v>
      </c>
      <c r="E9" s="24" t="n">
        <v>0.8</v>
      </c>
      <c r="F9" s="24" t="n">
        <v>0.08</v>
      </c>
      <c r="G9" s="24" t="n">
        <v>0.02</v>
      </c>
      <c r="H9" s="25" t="n">
        <v>250</v>
      </c>
      <c r="I9" s="26" t="n">
        <v>3</v>
      </c>
      <c r="J9" s="26" t="n">
        <v>2</v>
      </c>
      <c r="K9" s="26" t="n">
        <v>4</v>
      </c>
      <c r="L9" s="26" t="n">
        <v>2</v>
      </c>
      <c r="M9" s="26" t="n">
        <v>0</v>
      </c>
      <c r="N9" s="26" t="s">
        <v>183</v>
      </c>
      <c r="O9" s="22" t="n">
        <v>300</v>
      </c>
      <c r="P9" s="26" t="n">
        <v>3</v>
      </c>
      <c r="Q9" s="27" t="n">
        <f aca="false">C9*D9*E9/60</f>
        <v>133.333333333333</v>
      </c>
      <c r="R9" s="28" t="n">
        <f aca="false">Q9*$C$4</f>
        <v>10000</v>
      </c>
      <c r="S9" s="28" t="n">
        <f aca="false">C9*(F9-G9)*H9</f>
        <v>6000</v>
      </c>
      <c r="T9" s="29" t="n">
        <f aca="false">K9-L9</f>
        <v>2</v>
      </c>
      <c r="U9" s="30" t="n">
        <f aca="false">IF(Q9=0,"n/a",ROUND(O9/MAX(Q9/ ($C$6/D9),1),1))</f>
        <v>14.4</v>
      </c>
      <c r="V9" s="28" t="n">
        <f aca="false">M9*$C$5</f>
        <v>0</v>
      </c>
      <c r="W9" s="28" t="n">
        <f aca="false">R9+S9+V9</f>
        <v>16000</v>
      </c>
      <c r="X9" s="28" t="n">
        <f aca="false">W9*12</f>
        <v>192000</v>
      </c>
    </row>
    <row r="10" customFormat="false" ht="15" hidden="false" customHeight="false" outlineLevel="0" collapsed="false">
      <c r="A10" s="6" t="s">
        <v>107</v>
      </c>
      <c r="B10" s="21" t="s">
        <v>81</v>
      </c>
      <c r="C10" s="22" t="n">
        <v>20</v>
      </c>
      <c r="D10" s="23" t="n">
        <v>90</v>
      </c>
      <c r="E10" s="24" t="n">
        <v>0.7</v>
      </c>
      <c r="F10" s="24" t="n">
        <v>0.15</v>
      </c>
      <c r="G10" s="24" t="n">
        <v>0.05</v>
      </c>
      <c r="H10" s="25" t="n">
        <v>500</v>
      </c>
      <c r="I10" s="26" t="n">
        <v>4</v>
      </c>
      <c r="J10" s="26" t="n">
        <v>3</v>
      </c>
      <c r="K10" s="26" t="n">
        <v>5</v>
      </c>
      <c r="L10" s="26" t="n">
        <v>2</v>
      </c>
      <c r="M10" s="26" t="n">
        <v>24</v>
      </c>
      <c r="N10" s="26" t="s">
        <v>184</v>
      </c>
      <c r="O10" s="22" t="n">
        <v>60</v>
      </c>
      <c r="P10" s="26" t="n">
        <v>4</v>
      </c>
      <c r="Q10" s="27" t="n">
        <f aca="false">C10*D10*E10/60</f>
        <v>21</v>
      </c>
      <c r="R10" s="28" t="n">
        <f aca="false">Q10*$C$4</f>
        <v>1575</v>
      </c>
      <c r="S10" s="28" t="n">
        <f aca="false">C10*(F10-G10)*H10</f>
        <v>1000</v>
      </c>
      <c r="T10" s="29" t="n">
        <f aca="false">K10-L10</f>
        <v>3</v>
      </c>
      <c r="U10" s="30" t="n">
        <f aca="false">IF(Q10=0,"n/a",ROUND(O10/MAX(Q10/ ($C$6/D10),1),1))</f>
        <v>5.1</v>
      </c>
      <c r="V10" s="28" t="n">
        <f aca="false">M10*$C$5</f>
        <v>3960</v>
      </c>
      <c r="W10" s="28" t="n">
        <f aca="false">R10+S10+V10</f>
        <v>6535</v>
      </c>
      <c r="X10" s="28" t="n">
        <f aca="false">W10*12</f>
        <v>78420</v>
      </c>
    </row>
    <row r="11" customFormat="false" ht="15" hidden="false" customHeight="false" outlineLevel="0" collapsed="false">
      <c r="A11" s="6" t="s">
        <v>112</v>
      </c>
      <c r="B11" s="21" t="s">
        <v>86</v>
      </c>
      <c r="C11" s="22" t="n">
        <v>600</v>
      </c>
      <c r="D11" s="23" t="n">
        <v>15</v>
      </c>
      <c r="E11" s="24" t="n">
        <v>0.75</v>
      </c>
      <c r="F11" s="24" t="n">
        <v>0.1</v>
      </c>
      <c r="G11" s="24" t="n">
        <v>0.03</v>
      </c>
      <c r="H11" s="25" t="n">
        <v>120</v>
      </c>
      <c r="I11" s="26" t="n">
        <v>2</v>
      </c>
      <c r="J11" s="26" t="n">
        <v>1</v>
      </c>
      <c r="K11" s="26" t="n">
        <v>3</v>
      </c>
      <c r="L11" s="26" t="n">
        <v>1</v>
      </c>
      <c r="M11" s="26" t="n">
        <v>8</v>
      </c>
      <c r="N11" s="26" t="s">
        <v>183</v>
      </c>
      <c r="O11" s="22" t="n">
        <v>0</v>
      </c>
      <c r="P11" s="26" t="n">
        <v>5</v>
      </c>
      <c r="Q11" s="27" t="n">
        <f aca="false">C11*D11*E11/60</f>
        <v>112.5</v>
      </c>
      <c r="R11" s="28" t="n">
        <f aca="false">Q11*$C$4</f>
        <v>8437.5</v>
      </c>
      <c r="S11" s="28" t="n">
        <f aca="false">C11*(F11-G11)*H11</f>
        <v>5040</v>
      </c>
      <c r="T11" s="29" t="n">
        <f aca="false">K11-L11</f>
        <v>2</v>
      </c>
      <c r="U11" s="30" t="n">
        <f aca="false">IF(Q11=0,"n/a",ROUND(O11/MAX(Q11/ ($C$6/D11),1),1))</f>
        <v>0</v>
      </c>
      <c r="V11" s="28" t="n">
        <f aca="false">M11*$C$5</f>
        <v>1320</v>
      </c>
      <c r="W11" s="28" t="n">
        <f aca="false">R11+S11+V11</f>
        <v>14797.5</v>
      </c>
      <c r="X11" s="28" t="n">
        <f aca="false">W11*12</f>
        <v>177570</v>
      </c>
    </row>
    <row r="12" customFormat="false" ht="15" hidden="false" customHeight="false" outlineLevel="0" collapsed="false">
      <c r="A12" s="6"/>
      <c r="B12" s="15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27" t="n">
        <f aca="false">C12*D12*E12/60</f>
        <v>0</v>
      </c>
      <c r="R12" s="28" t="n">
        <f aca="false">Q12*$C$4</f>
        <v>0</v>
      </c>
      <c r="S12" s="28" t="n">
        <f aca="false">C12*(F12-G12)*H12</f>
        <v>0</v>
      </c>
      <c r="T12" s="29" t="n">
        <f aca="false">K12-L12</f>
        <v>0</v>
      </c>
      <c r="U12" s="15"/>
      <c r="V12" s="28" t="n">
        <f aca="false">M12*$C$5</f>
        <v>0</v>
      </c>
      <c r="W12" s="28" t="n">
        <f aca="false">R12+S12+V12</f>
        <v>0</v>
      </c>
      <c r="X12" s="28" t="n">
        <f aca="false">W12*12</f>
        <v>0</v>
      </c>
    </row>
    <row r="13" customFormat="false" ht="15" hidden="false" customHeight="false" outlineLevel="0" collapsed="false">
      <c r="A13" s="6"/>
      <c r="B13" s="15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27" t="n">
        <f aca="false">C13*D13*E13/60</f>
        <v>0</v>
      </c>
      <c r="R13" s="28" t="n">
        <f aca="false">Q13*$C$4</f>
        <v>0</v>
      </c>
      <c r="S13" s="28" t="n">
        <f aca="false">C13*(F13-G13)*H13</f>
        <v>0</v>
      </c>
      <c r="T13" s="29" t="n">
        <f aca="false">K13-L13</f>
        <v>0</v>
      </c>
      <c r="U13" s="15"/>
      <c r="V13" s="28" t="n">
        <f aca="false">M13*$C$5</f>
        <v>0</v>
      </c>
      <c r="W13" s="28" t="n">
        <f aca="false">R13+S13+V13</f>
        <v>0</v>
      </c>
      <c r="X13" s="28" t="n">
        <f aca="false">W13*12</f>
        <v>0</v>
      </c>
    </row>
    <row r="14" customFormat="false" ht="15" hidden="false" customHeight="false" outlineLevel="0" collapsed="false">
      <c r="A14" s="6"/>
      <c r="B14" s="15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27" t="n">
        <f aca="false">C14*D14*E14/60</f>
        <v>0</v>
      </c>
      <c r="R14" s="28" t="n">
        <f aca="false">Q14*$C$4</f>
        <v>0</v>
      </c>
      <c r="S14" s="28" t="n">
        <f aca="false">C14*(F14-G14)*H14</f>
        <v>0</v>
      </c>
      <c r="T14" s="29" t="n">
        <f aca="false">K14-L14</f>
        <v>0</v>
      </c>
      <c r="U14" s="15"/>
      <c r="V14" s="28" t="n">
        <f aca="false">M14*$C$5</f>
        <v>0</v>
      </c>
      <c r="W14" s="28" t="n">
        <f aca="false">R14+S14+V14</f>
        <v>0</v>
      </c>
      <c r="X14" s="28" t="n">
        <f aca="false">W14*12</f>
        <v>0</v>
      </c>
    </row>
    <row r="15" customFormat="false" ht="15" hidden="false" customHeight="false" outlineLevel="0" collapsed="false">
      <c r="A15" s="6"/>
      <c r="B15" s="15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27" t="n">
        <f aca="false">C15*D15*E15/60</f>
        <v>0</v>
      </c>
      <c r="R15" s="28" t="n">
        <f aca="false">Q15*$C$4</f>
        <v>0</v>
      </c>
      <c r="S15" s="28" t="n">
        <f aca="false">C15*(F15-G15)*H15</f>
        <v>0</v>
      </c>
      <c r="T15" s="29" t="n">
        <f aca="false">K15-L15</f>
        <v>0</v>
      </c>
      <c r="U15" s="15"/>
      <c r="V15" s="28" t="n">
        <f aca="false">M15*$C$5</f>
        <v>0</v>
      </c>
      <c r="W15" s="28" t="n">
        <f aca="false">R15+S15+V15</f>
        <v>0</v>
      </c>
      <c r="X15" s="28" t="n">
        <f aca="false">W15*12</f>
        <v>0</v>
      </c>
    </row>
    <row r="16" customFormat="false" ht="15" hidden="false" customHeight="false" outlineLevel="0" collapsed="false">
      <c r="B16" s="17" t="s">
        <v>185</v>
      </c>
      <c r="Q16" s="32" t="n">
        <f aca="false">SUM(Q9:Q15)</f>
        <v>266.833333333333</v>
      </c>
      <c r="R16" s="33" t="n">
        <f aca="false">SUM(R9:R15)</f>
        <v>20012.5</v>
      </c>
      <c r="S16" s="33" t="n">
        <f aca="false">SUM(S9:S15)</f>
        <v>12040</v>
      </c>
      <c r="V16" s="33" t="n">
        <f aca="false">SUM(V9:V15)</f>
        <v>5280</v>
      </c>
      <c r="W16" s="33" t="n">
        <f aca="false">SUM(W9:W15)</f>
        <v>37332.5</v>
      </c>
      <c r="X16" s="33" t="n">
        <f aca="false">SUM(X9:X15)</f>
        <v>447990</v>
      </c>
    </row>
    <row r="17" customFormat="false" ht="15" hidden="false" customHeight="true" outlineLevel="0" collapsed="false">
      <c r="B17" s="34" t="s">
        <v>186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</row>
  </sheetData>
  <mergeCells count="6">
    <mergeCell ref="A1:Y1"/>
    <mergeCell ref="A2:Y2"/>
    <mergeCell ref="A4:B4"/>
    <mergeCell ref="A5:B5"/>
    <mergeCell ref="A6:B6"/>
    <mergeCell ref="B17:L17"/>
  </mergeCells>
  <dataValidations count="1">
    <dataValidation allowBlank="true" errorStyle="stop" operator="between" showDropDown="false" showErrorMessage="false" showInputMessage="false" sqref="N9:N1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8"/>
  </cols>
  <sheetData>
    <row r="1" customFormat="false" ht="25.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188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17" t="s">
        <v>189</v>
      </c>
      <c r="B3" s="35" t="s">
        <v>190</v>
      </c>
      <c r="C3" s="35"/>
      <c r="D3" s="35"/>
      <c r="E3" s="35"/>
      <c r="F3" s="35"/>
      <c r="G3" s="35"/>
      <c r="H3" s="35"/>
      <c r="I3" s="35"/>
    </row>
    <row r="5" customFormat="false" ht="23.85" hidden="false" customHeight="false" outlineLevel="0" collapsed="false">
      <c r="A5" s="5" t="s">
        <v>94</v>
      </c>
      <c r="B5" s="5" t="s">
        <v>160</v>
      </c>
      <c r="C5" s="5" t="s">
        <v>182</v>
      </c>
      <c r="D5" s="5" t="s">
        <v>191</v>
      </c>
      <c r="E5" s="5" t="s">
        <v>192</v>
      </c>
      <c r="F5" s="5" t="s">
        <v>193</v>
      </c>
      <c r="G5" s="5" t="s">
        <v>194</v>
      </c>
      <c r="H5" s="5" t="s">
        <v>195</v>
      </c>
      <c r="I5" s="5" t="s">
        <v>196</v>
      </c>
    </row>
    <row r="6" customFormat="false" ht="15" hidden="false" customHeight="false" outlineLevel="0" collapsed="false">
      <c r="A6" s="36" t="str">
        <f aca="false">Value_Model!A9</f>
        <v>WF-01</v>
      </c>
      <c r="B6" s="36" t="str">
        <f aca="false">Value_Model!B9</f>
        <v>COA Intake</v>
      </c>
      <c r="C6" s="37" t="n">
        <f aca="false">Value_Model!X9</f>
        <v>192000</v>
      </c>
      <c r="D6" s="26" t="n">
        <v>5</v>
      </c>
      <c r="E6" s="26" t="n">
        <v>5</v>
      </c>
      <c r="F6" s="26" t="n">
        <v>4</v>
      </c>
      <c r="G6" s="26" t="n">
        <v>3</v>
      </c>
      <c r="H6" s="30" t="n">
        <f aca="false">IFERROR(100*(0.5*(C6/MAX($C$6:$C$12))+0.25*(D6/5)+0.25*(E6/5)),"")</f>
        <v>100</v>
      </c>
      <c r="I6" s="38" t="n">
        <f aca="false">IF(H6="","",RANK(H6,$H$6:$H$12,0))</f>
        <v>1</v>
      </c>
    </row>
    <row r="7" customFormat="false" ht="15" hidden="false" customHeight="false" outlineLevel="0" collapsed="false">
      <c r="A7" s="36" t="str">
        <f aca="false">Value_Model!A10</f>
        <v>WF-02</v>
      </c>
      <c r="B7" s="36" t="str">
        <f aca="false">Value_Model!B10</f>
        <v>Audit-Evidence Rollup</v>
      </c>
      <c r="C7" s="37" t="n">
        <f aca="false">Value_Model!X10</f>
        <v>78420</v>
      </c>
      <c r="D7" s="26" t="n">
        <v>4</v>
      </c>
      <c r="E7" s="26" t="n">
        <v>5</v>
      </c>
      <c r="F7" s="26" t="n">
        <v>5</v>
      </c>
      <c r="G7" s="26" t="n">
        <v>3</v>
      </c>
      <c r="H7" s="30" t="n">
        <f aca="false">IFERROR(100*(0.5*(C7/MAX($C$6:$C$12))+0.25*(D7/5)+0.25*(E7/5)),"")</f>
        <v>65.421875</v>
      </c>
      <c r="I7" s="38" t="n">
        <f aca="false">IF(H7="","",RANK(H7,$H$6:$H$12,0))</f>
        <v>3</v>
      </c>
    </row>
    <row r="8" customFormat="false" ht="15" hidden="false" customHeight="false" outlineLevel="0" collapsed="false">
      <c r="A8" s="36" t="str">
        <f aca="false">Value_Model!A11</f>
        <v>WF-03</v>
      </c>
      <c r="B8" s="36" t="str">
        <f aca="false">Value_Model!B11</f>
        <v>HPC Job Triage</v>
      </c>
      <c r="C8" s="37" t="n">
        <f aca="false">Value_Model!X11</f>
        <v>177570</v>
      </c>
      <c r="D8" s="26" t="n">
        <v>5</v>
      </c>
      <c r="E8" s="26" t="n">
        <v>4</v>
      </c>
      <c r="F8" s="26" t="n">
        <v>4</v>
      </c>
      <c r="G8" s="26" t="n">
        <v>4</v>
      </c>
      <c r="H8" s="30" t="n">
        <f aca="false">IFERROR(100*(0.5*(C8/MAX($C$6:$C$12))+0.25*(D8/5)+0.25*(E8/5)),"")</f>
        <v>91.2421875</v>
      </c>
      <c r="I8" s="38" t="n">
        <f aca="false">IF(H8="","",RANK(H8,$H$6:$H$12,0))</f>
        <v>2</v>
      </c>
    </row>
    <row r="9" customFormat="false" ht="15" hidden="false" customHeight="false" outlineLevel="0" collapsed="false">
      <c r="A9" s="36"/>
      <c r="B9" s="36"/>
      <c r="C9" s="39"/>
      <c r="D9" s="31"/>
      <c r="E9" s="31"/>
      <c r="F9" s="31"/>
      <c r="G9" s="31"/>
      <c r="H9" s="30" t="n">
        <f aca="false">IFERROR(100*(0.5*(C9/MAX($C$6:$C$12))+0.25*(D9/5)+0.25*(E9/5)),"")</f>
        <v>0</v>
      </c>
      <c r="I9" s="38" t="n">
        <f aca="false">IF(H9="","",RANK(H9,$H$6:$H$12,0))</f>
        <v>4</v>
      </c>
    </row>
    <row r="10" customFormat="false" ht="15" hidden="false" customHeight="false" outlineLevel="0" collapsed="false">
      <c r="A10" s="36"/>
      <c r="B10" s="36"/>
      <c r="C10" s="39"/>
      <c r="D10" s="31"/>
      <c r="E10" s="31"/>
      <c r="F10" s="31"/>
      <c r="G10" s="31"/>
      <c r="H10" s="30" t="n">
        <f aca="false">IFERROR(100*(0.5*(C10/MAX($C$6:$C$12))+0.25*(D10/5)+0.25*(E10/5)),"")</f>
        <v>0</v>
      </c>
      <c r="I10" s="38" t="n">
        <f aca="false">IF(H10="","",RANK(H10,$H$6:$H$12,0))</f>
        <v>4</v>
      </c>
    </row>
    <row r="11" customFormat="false" ht="15" hidden="false" customHeight="false" outlineLevel="0" collapsed="false">
      <c r="A11" s="36"/>
      <c r="B11" s="36"/>
      <c r="C11" s="39"/>
      <c r="D11" s="31"/>
      <c r="E11" s="31"/>
      <c r="F11" s="31"/>
      <c r="G11" s="31"/>
      <c r="H11" s="30" t="n">
        <f aca="false">IFERROR(100*(0.5*(C11/MAX($C$6:$C$12))+0.25*(D11/5)+0.25*(E11/5)),"")</f>
        <v>0</v>
      </c>
      <c r="I11" s="38" t="n">
        <f aca="false">IF(H11="","",RANK(H11,$H$6:$H$12,0))</f>
        <v>4</v>
      </c>
    </row>
    <row r="12" customFormat="false" ht="15" hidden="false" customHeight="false" outlineLevel="0" collapsed="false">
      <c r="A12" s="36"/>
      <c r="B12" s="36"/>
      <c r="C12" s="39"/>
      <c r="D12" s="31"/>
      <c r="E12" s="31"/>
      <c r="F12" s="31"/>
      <c r="G12" s="31"/>
      <c r="H12" s="30" t="n">
        <f aca="false">IFERROR(100*(0.5*(C12/MAX($C$6:$C$12))+0.25*(D12/5)+0.25*(E12/5)),"")</f>
        <v>0</v>
      </c>
      <c r="I12" s="38" t="n">
        <f aca="false">IF(H12="","",RANK(H12,$H$6:$H$12,0))</f>
        <v>4</v>
      </c>
    </row>
  </sheetData>
  <mergeCells count="3">
    <mergeCell ref="A1:I1"/>
    <mergeCell ref="A2:I2"/>
    <mergeCell ref="B3:I3"/>
  </mergeCells>
  <conditionalFormatting sqref="D6:G12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H6:H1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4"/>
  </cols>
  <sheetData>
    <row r="1" customFormat="false" ht="25.5" hidden="false" customHeight="true" outlineLevel="0" collapsed="false">
      <c r="A1" s="1" t="s">
        <v>197</v>
      </c>
      <c r="B1" s="1"/>
      <c r="C1" s="1"/>
      <c r="D1" s="1"/>
    </row>
    <row r="2" customFormat="false" ht="15.75" hidden="false" customHeight="true" outlineLevel="0" collapsed="false">
      <c r="A2" s="2" t="s">
        <v>198</v>
      </c>
      <c r="B2" s="2"/>
      <c r="C2" s="2"/>
      <c r="D2" s="2"/>
    </row>
    <row r="3" customFormat="false" ht="30" hidden="false" customHeight="true" outlineLevel="0" collapsed="false">
      <c r="A3" s="40" t="s">
        <v>199</v>
      </c>
      <c r="B3" s="41" t="str">
        <f aca="false">Scorecard!B6</f>
        <v>COA Intake</v>
      </c>
      <c r="C3" s="41"/>
      <c r="D3" s="41"/>
    </row>
    <row r="4" customFormat="false" ht="30" hidden="false" customHeight="true" outlineLevel="0" collapsed="false">
      <c r="A4" s="40" t="s">
        <v>200</v>
      </c>
      <c r="B4" s="42" t="n">
        <f aca="false">Scorecard!C6</f>
        <v>192000</v>
      </c>
      <c r="C4" s="42"/>
      <c r="D4" s="42"/>
    </row>
    <row r="5" customFormat="false" ht="30" hidden="false" customHeight="true" outlineLevel="0" collapsed="false">
      <c r="A5" s="40" t="s">
        <v>98</v>
      </c>
      <c r="B5" s="43"/>
      <c r="C5" s="43"/>
      <c r="D5" s="43"/>
    </row>
    <row r="6" customFormat="false" ht="30" hidden="false" customHeight="true" outlineLevel="0" collapsed="false">
      <c r="A6" s="40" t="s">
        <v>201</v>
      </c>
      <c r="B6" s="43" t="s">
        <v>202</v>
      </c>
      <c r="C6" s="43"/>
      <c r="D6" s="43"/>
    </row>
    <row r="7" customFormat="false" ht="30" hidden="false" customHeight="true" outlineLevel="0" collapsed="false">
      <c r="A7" s="40" t="s">
        <v>203</v>
      </c>
      <c r="B7" s="43"/>
      <c r="C7" s="43"/>
      <c r="D7" s="43"/>
    </row>
    <row r="8" customFormat="false" ht="30" hidden="false" customHeight="true" outlineLevel="0" collapsed="false">
      <c r="A8" s="40" t="s">
        <v>204</v>
      </c>
      <c r="B8" s="43"/>
      <c r="C8" s="43"/>
      <c r="D8" s="43"/>
    </row>
    <row r="9" customFormat="false" ht="30" hidden="false" customHeight="true" outlineLevel="0" collapsed="false">
      <c r="A9" s="40" t="s">
        <v>205</v>
      </c>
      <c r="B9" s="43"/>
      <c r="C9" s="43"/>
      <c r="D9" s="43"/>
    </row>
    <row r="10" customFormat="false" ht="30" hidden="false" customHeight="true" outlineLevel="0" collapsed="false">
      <c r="A10" s="40" t="s">
        <v>206</v>
      </c>
      <c r="B10" s="43" t="s">
        <v>207</v>
      </c>
      <c r="C10" s="43"/>
      <c r="D10" s="43"/>
    </row>
    <row r="11" customFormat="false" ht="30" hidden="false" customHeight="true" outlineLevel="0" collapsed="false">
      <c r="A11" s="40" t="s">
        <v>208</v>
      </c>
      <c r="B11" s="43"/>
      <c r="C11" s="43"/>
      <c r="D11" s="43"/>
    </row>
    <row r="12" customFormat="false" ht="30" hidden="false" customHeight="true" outlineLevel="0" collapsed="false">
      <c r="A12" s="40" t="s">
        <v>209</v>
      </c>
      <c r="B12" s="43"/>
      <c r="C12" s="43"/>
      <c r="D12" s="43"/>
    </row>
    <row r="13" customFormat="false" ht="30" hidden="false" customHeight="true" outlineLevel="0" collapsed="false">
      <c r="A13" s="40" t="s">
        <v>210</v>
      </c>
      <c r="B13" s="43"/>
      <c r="C13" s="43"/>
      <c r="D13" s="43"/>
    </row>
    <row r="14" customFormat="false" ht="30" hidden="false" customHeight="true" outlineLevel="0" collapsed="false">
      <c r="A14" s="40" t="s">
        <v>211</v>
      </c>
      <c r="B14" s="43" t="s">
        <v>212</v>
      </c>
      <c r="C14" s="43"/>
      <c r="D14" s="43"/>
    </row>
    <row r="15" customFormat="false" ht="30" hidden="false" customHeight="true" outlineLevel="0" collapsed="false">
      <c r="A15" s="40" t="s">
        <v>213</v>
      </c>
      <c r="B15" s="43"/>
      <c r="C15" s="43"/>
      <c r="D15" s="43"/>
    </row>
  </sheetData>
  <mergeCells count="15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2026-06-02T21:35:43Z</dcterms:created>
  <dc:creator>openpyxl</dc:creator>
  <dc:description/>
  <dc:language>en-US</dc:language>
  <cp:lastModifiedBy/>
  <dcterms:modified xsi:type="dcterms:W3CDTF">2026-06-02T21:35:44Z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